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UlrichSofnerCervatti\Desktop\"/>
    </mc:Choice>
  </mc:AlternateContent>
  <xr:revisionPtr revIDLastSave="0" documentId="13_ncr:1_{9B570B30-0981-4656-B228-B24EA995E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he" sheetId="11" r:id="rId1"/>
    <sheet name="A" sheetId="12" r:id="rId2"/>
  </sheets>
  <definedNames>
    <definedName name="_xlnm._FilterDatabase" localSheetId="0" hidden="1">Detalhe!$A$9:$M$54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G14" i="11"/>
  <c r="H14" i="11"/>
  <c r="F15" i="11"/>
  <c r="G15" i="11"/>
  <c r="J15" i="11" s="1"/>
  <c r="F16" i="11"/>
  <c r="G16" i="11"/>
  <c r="F17" i="11"/>
  <c r="G17" i="11"/>
  <c r="F18" i="11"/>
  <c r="G18" i="11" s="1"/>
  <c r="F19" i="11"/>
  <c r="G19" i="11" s="1"/>
  <c r="J19" i="11" s="1"/>
  <c r="F20" i="11"/>
  <c r="G20" i="11" s="1"/>
  <c r="F21" i="11"/>
  <c r="G21" i="11" s="1"/>
  <c r="J21" i="11" s="1"/>
  <c r="F22" i="11"/>
  <c r="G22" i="11"/>
  <c r="F23" i="11"/>
  <c r="G23" i="11" s="1"/>
  <c r="F24" i="11"/>
  <c r="G24" i="11" s="1"/>
  <c r="F12" i="11"/>
  <c r="G12" i="11" s="1"/>
  <c r="F13" i="11"/>
  <c r="G13" i="11" s="1"/>
  <c r="J13" i="11" s="1"/>
  <c r="J17" i="11"/>
  <c r="F25" i="11"/>
  <c r="G25" i="11" s="1"/>
  <c r="J25" i="11" s="1"/>
  <c r="F26" i="11"/>
  <c r="G26" i="11" s="1"/>
  <c r="F27" i="11"/>
  <c r="G27" i="11" s="1"/>
  <c r="J27" i="11" s="1"/>
  <c r="F28" i="11"/>
  <c r="G28" i="11" s="1"/>
  <c r="F29" i="11"/>
  <c r="G29" i="11" s="1"/>
  <c r="J29" i="11" s="1"/>
  <c r="F30" i="11"/>
  <c r="G30" i="11" s="1"/>
  <c r="F31" i="11"/>
  <c r="G31" i="11" s="1"/>
  <c r="J31" i="11" s="1"/>
  <c r="F32" i="11"/>
  <c r="G32" i="11" s="1"/>
  <c r="F33" i="11"/>
  <c r="G33" i="11" s="1"/>
  <c r="J33" i="11" s="1"/>
  <c r="F34" i="11"/>
  <c r="G34" i="11" s="1"/>
  <c r="F35" i="11"/>
  <c r="G35" i="11" s="1"/>
  <c r="J35" i="11" s="1"/>
  <c r="F53" i="11"/>
  <c r="G53" i="11" s="1"/>
  <c r="F36" i="11"/>
  <c r="G36" i="11" s="1"/>
  <c r="F37" i="11"/>
  <c r="G37" i="11" s="1"/>
  <c r="F38" i="11"/>
  <c r="G38" i="11" s="1"/>
  <c r="F39" i="11"/>
  <c r="G39" i="11" s="1"/>
  <c r="F40" i="11"/>
  <c r="G40" i="11" s="1"/>
  <c r="F41" i="11"/>
  <c r="G41" i="11" s="1"/>
  <c r="F42" i="11"/>
  <c r="G42" i="11" s="1"/>
  <c r="F43" i="11"/>
  <c r="G43" i="11" s="1"/>
  <c r="F44" i="11"/>
  <c r="G44" i="11" s="1"/>
  <c r="F45" i="11"/>
  <c r="G45" i="11" s="1"/>
  <c r="F46" i="11"/>
  <c r="G46" i="11" s="1"/>
  <c r="F47" i="11"/>
  <c r="G47" i="11" s="1"/>
  <c r="F48" i="11"/>
  <c r="G48" i="11" s="1"/>
  <c r="F49" i="11"/>
  <c r="G49" i="11" s="1"/>
  <c r="F50" i="11"/>
  <c r="G50" i="11" s="1"/>
  <c r="F51" i="11"/>
  <c r="G51" i="11" s="1"/>
  <c r="J51" i="11" s="1"/>
  <c r="F52" i="11"/>
  <c r="G52" i="11" s="1"/>
  <c r="H16" i="11" l="1"/>
  <c r="H17" i="11"/>
  <c r="H18" i="11" s="1"/>
  <c r="H19" i="11" s="1"/>
  <c r="H20" i="11" s="1"/>
  <c r="H21" i="11" s="1"/>
  <c r="H22" i="11" s="1"/>
  <c r="H23" i="11" s="1"/>
  <c r="H24" i="11" s="1"/>
  <c r="J23" i="11"/>
  <c r="H15" i="11"/>
  <c r="J34" i="11"/>
  <c r="J32" i="11"/>
  <c r="J28" i="11"/>
  <c r="J24" i="11"/>
  <c r="J20" i="11"/>
  <c r="J16" i="11"/>
  <c r="J30" i="11"/>
  <c r="J26" i="11"/>
  <c r="J22" i="11"/>
  <c r="J18" i="11"/>
  <c r="J14" i="11"/>
  <c r="J53" i="11"/>
  <c r="J48" i="11"/>
  <c r="J41" i="11"/>
  <c r="J45" i="11"/>
  <c r="J52" i="11"/>
  <c r="J49" i="11"/>
  <c r="J46" i="11"/>
  <c r="J42" i="11"/>
  <c r="J38" i="11"/>
  <c r="J37" i="11"/>
  <c r="J44" i="11"/>
  <c r="J40" i="11"/>
  <c r="J36" i="11"/>
  <c r="J50" i="11"/>
  <c r="J47" i="11"/>
  <c r="J43" i="11"/>
  <c r="J39" i="11"/>
  <c r="J12" i="11"/>
  <c r="F11" i="11" l="1"/>
  <c r="G11" i="11" l="1"/>
  <c r="H11" i="11" l="1"/>
  <c r="H12" i="11" s="1"/>
  <c r="H13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J11" i="11"/>
  <c r="H36" i="11" l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</calcChain>
</file>

<file path=xl/sharedStrings.xml><?xml version="1.0" encoding="utf-8"?>
<sst xmlns="http://schemas.openxmlformats.org/spreadsheetml/2006/main" count="64" uniqueCount="37">
  <si>
    <t>Planilha de Controle de Horas</t>
  </si>
  <si>
    <t>Cliente</t>
  </si>
  <si>
    <t>Gestor</t>
  </si>
  <si>
    <t>Consultor</t>
  </si>
  <si>
    <t>Gestor Orion</t>
  </si>
  <si>
    <t>Data</t>
  </si>
  <si>
    <t>Horário de Entrada</t>
  </si>
  <si>
    <t>Saída Intervalo</t>
  </si>
  <si>
    <t>Retorno Intervalo</t>
  </si>
  <si>
    <t>Horário de Saída</t>
  </si>
  <si>
    <t>Intervalo</t>
  </si>
  <si>
    <t>Total de Horas Trabalhadas no Dia</t>
  </si>
  <si>
    <t>Total de Horas Trabalhadas no Mês</t>
  </si>
  <si>
    <t>Atividades Principais</t>
  </si>
  <si>
    <t>NÃO Preencher esta colunas (CÁLCULO)</t>
  </si>
  <si>
    <t>Participantes</t>
  </si>
  <si>
    <t>Qtde. 
Pessoas</t>
  </si>
  <si>
    <t>Produto</t>
  </si>
  <si>
    <t>BANCO MASTER</t>
  </si>
  <si>
    <t>Ulrich</t>
  </si>
  <si>
    <t>Rodrigo Zampol</t>
  </si>
  <si>
    <t>Guinei</t>
  </si>
  <si>
    <t>ULRICH</t>
  </si>
  <si>
    <t>INSS</t>
  </si>
  <si>
    <t>INSS - CREDCESTA</t>
  </si>
  <si>
    <t>Analise e Ajustes internos por conta de Ajustes solicitados.</t>
  </si>
  <si>
    <t>CONSIGLOG</t>
  </si>
  <si>
    <t>Importação do processo CONSIGLOG TAUBATÉ no ambiente de homologação e aplicação de ajustes no INSS</t>
  </si>
  <si>
    <t>Continuação do processo de importação</t>
  </si>
  <si>
    <t>Aplicação de Ajustes de tabela de banco de dados no ambiente homol e aplicação de ajustes no INSS</t>
  </si>
  <si>
    <t>Criação de ajustes solicitados por Eline para INSS de casos novos em ambiente Orion</t>
  </si>
  <si>
    <t>Testes integrados de ajustes</t>
  </si>
  <si>
    <t>Testes integrados de ajustes e importação de baixa presumida e ajustes solicitados em ambiente MASTER</t>
  </si>
  <si>
    <t>MODELO 01 - SÓ COMPRAS</t>
  </si>
  <si>
    <t>Desenvolvimento da ETAPA 1 do modelo, mapas e etls</t>
  </si>
  <si>
    <t>Desenvolvimento do ajuste CONSIGLOG de liquidados e reembolso em MFACIL E CREDCESTA</t>
  </si>
  <si>
    <t>Impotação do ajuste CONSIGLOG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</si>
</sst>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[$-416]d\-mmm\-yy;@"/>
    <numFmt numFmtId="166" formatCode="[h]:mm:ss;@"/>
    <numFmt numFmtId="167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20" fontId="0" fillId="0" borderId="5" xfId="0" applyNumberFormat="1" applyBorder="1" applyAlignment="1">
      <alignment horizontal="right"/>
    </xf>
    <xf numFmtId="43" fontId="0" fillId="0" borderId="5" xfId="1" applyFont="1" applyFill="1" applyBorder="1" applyAlignment="1">
      <alignment horizontal="right"/>
    </xf>
    <xf numFmtId="43" fontId="0" fillId="0" borderId="5" xfId="1" applyFont="1" applyFill="1" applyBorder="1" applyAlignment="1">
      <alignment horizontal="left"/>
    </xf>
    <xf numFmtId="43" fontId="0" fillId="0" borderId="6" xfId="1" applyFont="1" applyFill="1" applyBorder="1"/>
    <xf numFmtId="0" fontId="7" fillId="0" borderId="0" xfId="0" applyFont="1"/>
    <xf numFmtId="0" fontId="6" fillId="0" borderId="0" xfId="2"/>
    <xf numFmtId="165" fontId="0" fillId="3" borderId="0" xfId="0" applyNumberFormat="1" applyFill="1" applyAlignment="1">
      <alignment horizontal="center" vertical="center"/>
    </xf>
    <xf numFmtId="20" fontId="0" fillId="3" borderId="0" xfId="0" applyNumberFormat="1" applyFill="1" applyAlignment="1">
      <alignment horizontal="right" vertical="center"/>
    </xf>
    <xf numFmtId="20" fontId="0" fillId="4" borderId="0" xfId="0" applyNumberFormat="1" applyFill="1" applyAlignment="1">
      <alignment horizontal="right" vertical="center"/>
    </xf>
    <xf numFmtId="166" fontId="0" fillId="4" borderId="0" xfId="0" applyNumberFormat="1" applyFill="1" applyAlignment="1">
      <alignment horizontal="right" vertical="center"/>
    </xf>
    <xf numFmtId="167" fontId="0" fillId="3" borderId="0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7" fontId="2" fillId="0" borderId="3" xfId="0" applyNumberFormat="1" applyFont="1" applyBorder="1" applyAlignment="1">
      <alignment horizontal="left" vertical="center"/>
    </xf>
    <xf numFmtId="164" fontId="2" fillId="4" borderId="0" xfId="1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0" fontId="8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4" fontId="2" fillId="4" borderId="7" xfId="1" applyNumberFormat="1" applyFont="1" applyFill="1" applyBorder="1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47627</xdr:rowOff>
    </xdr:from>
    <xdr:to>
      <xdr:col>0</xdr:col>
      <xdr:colOff>885825</xdr:colOff>
      <xdr:row>2</xdr:row>
      <xdr:rowOff>361950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7"/>
          <a:ext cx="771525" cy="695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M55"/>
  <sheetViews>
    <sheetView tabSelected="1" topLeftCell="H9" zoomScaleNormal="100" workbookViewId="0">
      <selection activeCell="M25" sqref="M25"/>
    </sheetView>
  </sheetViews>
  <sheetFormatPr defaultRowHeight="14.4" x14ac:dyDescent="0.3"/>
  <cols>
    <col min="1" max="1" width="16.6640625" bestFit="1" customWidth="1"/>
    <col min="2" max="2" width="18.5546875" bestFit="1" customWidth="1"/>
    <col min="3" max="4" width="9" bestFit="1" customWidth="1"/>
    <col min="5" max="5" width="8.44140625" bestFit="1" customWidth="1"/>
    <col min="6" max="6" width="9" bestFit="1" customWidth="1"/>
    <col min="7" max="7" width="25" bestFit="1" customWidth="1"/>
    <col min="8" max="8" width="19.109375" customWidth="1"/>
    <col min="9" max="9" width="8" bestFit="1" customWidth="1"/>
    <col min="10" max="10" width="8" customWidth="1"/>
    <col min="11" max="11" width="34.109375" bestFit="1" customWidth="1"/>
    <col min="12" max="12" width="29.6640625" bestFit="1" customWidth="1"/>
    <col min="13" max="13" width="105.44140625" customWidth="1"/>
  </cols>
  <sheetData>
    <row r="3" spans="1:13" ht="31.2" x14ac:dyDescent="0.6">
      <c r="D3" s="29" t="s">
        <v>0</v>
      </c>
      <c r="E3" s="29"/>
      <c r="F3" s="29"/>
      <c r="G3" s="29"/>
      <c r="H3" s="29"/>
      <c r="I3" s="29"/>
      <c r="J3" s="29"/>
      <c r="K3" s="29"/>
      <c r="L3" s="29"/>
      <c r="M3" s="29"/>
    </row>
    <row r="4" spans="1:13" ht="18" x14ac:dyDescent="0.35">
      <c r="A4" s="1" t="s">
        <v>1</v>
      </c>
      <c r="B4" s="2" t="s">
        <v>18</v>
      </c>
      <c r="C4" s="2"/>
      <c r="D4" s="16"/>
    </row>
    <row r="5" spans="1:13" ht="18" x14ac:dyDescent="0.35">
      <c r="A5" s="1" t="s">
        <v>2</v>
      </c>
      <c r="B5" s="2" t="s">
        <v>20</v>
      </c>
      <c r="C5" s="2"/>
      <c r="D5" s="17"/>
    </row>
    <row r="6" spans="1:13" ht="18" x14ac:dyDescent="0.35">
      <c r="A6" s="1" t="s">
        <v>3</v>
      </c>
      <c r="B6" s="2" t="s">
        <v>19</v>
      </c>
      <c r="C6" s="2"/>
      <c r="D6" s="17"/>
    </row>
    <row r="7" spans="1:13" ht="18" x14ac:dyDescent="0.35">
      <c r="A7" s="1" t="s">
        <v>4</v>
      </c>
      <c r="B7" s="2" t="s">
        <v>21</v>
      </c>
      <c r="C7" s="2"/>
      <c r="D7" s="17"/>
    </row>
    <row r="8" spans="1:13" ht="15" thickBot="1" x14ac:dyDescent="0.35"/>
    <row r="9" spans="1:13" ht="29.4" thickBot="1" x14ac:dyDescent="0.35">
      <c r="A9" s="3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16</v>
      </c>
      <c r="J9" s="4"/>
      <c r="K9" s="4" t="s">
        <v>17</v>
      </c>
      <c r="L9" s="4" t="s">
        <v>15</v>
      </c>
      <c r="M9" s="5" t="s">
        <v>13</v>
      </c>
    </row>
    <row r="10" spans="1:13" x14ac:dyDescent="0.3">
      <c r="A10" s="24">
        <v>45628</v>
      </c>
      <c r="B10" s="6"/>
      <c r="C10" s="7"/>
      <c r="D10" s="8"/>
      <c r="E10" s="8"/>
      <c r="F10" s="30" t="s">
        <v>14</v>
      </c>
      <c r="G10" s="30"/>
      <c r="H10" s="30"/>
      <c r="I10" s="25"/>
      <c r="J10" s="25"/>
      <c r="K10" s="25"/>
      <c r="L10" s="9"/>
      <c r="M10" s="10"/>
    </row>
    <row r="11" spans="1:13" x14ac:dyDescent="0.3">
      <c r="A11" s="18">
        <v>45748</v>
      </c>
      <c r="B11" s="19">
        <v>0.54166666666666663</v>
      </c>
      <c r="C11" s="19"/>
      <c r="D11" s="19"/>
      <c r="E11" s="19">
        <v>0.66666666666666663</v>
      </c>
      <c r="F11" s="20">
        <f t="shared" ref="F11" si="0">D11-C11</f>
        <v>0</v>
      </c>
      <c r="G11" s="20">
        <f>E11-B11-F11</f>
        <v>0.125</v>
      </c>
      <c r="H11" s="21">
        <f>+G11*I11</f>
        <v>0.125</v>
      </c>
      <c r="I11" s="26">
        <v>1</v>
      </c>
      <c r="J11" s="28">
        <f>I11*G11</f>
        <v>0.125</v>
      </c>
      <c r="K11" s="27" t="s">
        <v>24</v>
      </c>
      <c r="L11" s="9" t="s">
        <v>22</v>
      </c>
      <c r="M11" s="23" t="s">
        <v>25</v>
      </c>
    </row>
    <row r="12" spans="1:13" x14ac:dyDescent="0.3">
      <c r="A12" s="18">
        <v>45749</v>
      </c>
      <c r="B12" s="19">
        <v>0.70833333333333337</v>
      </c>
      <c r="C12" s="19"/>
      <c r="D12" s="19"/>
      <c r="E12" s="19">
        <v>0.75</v>
      </c>
      <c r="F12" s="20">
        <f>D12-C12</f>
        <v>0</v>
      </c>
      <c r="G12" s="20">
        <f t="shared" ref="G12" si="1">E12-B12-F12</f>
        <v>4.166666666666663E-2</v>
      </c>
      <c r="H12" s="21">
        <f t="shared" ref="H12" si="2">(G12*I12)+H11</f>
        <v>0.16666666666666663</v>
      </c>
      <c r="I12" s="26">
        <v>1</v>
      </c>
      <c r="J12" s="28">
        <f t="shared" ref="J12" si="3">I12*G12</f>
        <v>4.166666666666663E-2</v>
      </c>
      <c r="K12" s="27" t="s">
        <v>26</v>
      </c>
      <c r="L12" s="9" t="s">
        <v>22</v>
      </c>
      <c r="M12" s="23" t="s">
        <v>27</v>
      </c>
    </row>
    <row r="13" spans="1:13" x14ac:dyDescent="0.3">
      <c r="A13" s="18">
        <v>45750</v>
      </c>
      <c r="B13" s="19">
        <v>0.66666666666666663</v>
      </c>
      <c r="C13" s="19"/>
      <c r="D13" s="19"/>
      <c r="E13" s="19">
        <v>0.70833333333333337</v>
      </c>
      <c r="F13" s="20">
        <f t="shared" ref="F13" si="4">D13-C13</f>
        <v>0</v>
      </c>
      <c r="G13" s="20">
        <f>E13-B13-F13</f>
        <v>4.1666666666666741E-2</v>
      </c>
      <c r="H13" s="21">
        <f t="shared" ref="H13:H35" si="5">(G13*I13)+H12</f>
        <v>0.20833333333333337</v>
      </c>
      <c r="I13" s="26">
        <v>1</v>
      </c>
      <c r="J13" s="28">
        <f t="shared" ref="J13:J35" si="6">I13*G13</f>
        <v>4.1666666666666741E-2</v>
      </c>
      <c r="K13" s="27" t="s">
        <v>26</v>
      </c>
      <c r="L13" s="9" t="s">
        <v>22</v>
      </c>
      <c r="M13" s="23" t="s">
        <v>28</v>
      </c>
    </row>
    <row r="14" spans="1:13" x14ac:dyDescent="0.3">
      <c r="A14" s="18">
        <v>45756</v>
      </c>
      <c r="B14" s="19">
        <v>0.625</v>
      </c>
      <c r="C14" s="19"/>
      <c r="D14" s="19"/>
      <c r="E14" s="19">
        <v>0.66666666666666663</v>
      </c>
      <c r="F14" s="20">
        <f t="shared" ref="F14:F24" si="7">D14-C14</f>
        <v>0</v>
      </c>
      <c r="G14" s="20">
        <f t="shared" ref="G14:G24" si="8">E14-B14-F14</f>
        <v>4.166666666666663E-2</v>
      </c>
      <c r="H14" s="21">
        <f t="shared" ref="H14:H24" si="9">(G14*I14)+H13</f>
        <v>0.25</v>
      </c>
      <c r="I14" s="26">
        <v>1</v>
      </c>
      <c r="J14" s="28">
        <f t="shared" si="6"/>
        <v>4.166666666666663E-2</v>
      </c>
      <c r="K14" s="27" t="s">
        <v>26</v>
      </c>
      <c r="L14" s="9" t="s">
        <v>22</v>
      </c>
      <c r="M14" s="23" t="s">
        <v>29</v>
      </c>
    </row>
    <row r="15" spans="1:13" x14ac:dyDescent="0.3">
      <c r="A15" s="18">
        <v>45762</v>
      </c>
      <c r="B15" s="19">
        <v>0.375</v>
      </c>
      <c r="C15" s="19"/>
      <c r="D15" s="19"/>
      <c r="E15" s="19">
        <v>0.5</v>
      </c>
      <c r="F15" s="20">
        <f t="shared" si="7"/>
        <v>0</v>
      </c>
      <c r="G15" s="20">
        <f t="shared" si="8"/>
        <v>0.125</v>
      </c>
      <c r="H15" s="21">
        <f t="shared" si="9"/>
        <v>0.375</v>
      </c>
      <c r="I15" s="26">
        <v>1</v>
      </c>
      <c r="J15" s="28">
        <f t="shared" si="6"/>
        <v>0.125</v>
      </c>
      <c r="K15" s="27" t="s">
        <v>23</v>
      </c>
      <c r="L15" s="9" t="s">
        <v>22</v>
      </c>
      <c r="M15" s="23" t="s">
        <v>30</v>
      </c>
    </row>
    <row r="16" spans="1:13" x14ac:dyDescent="0.3">
      <c r="A16" s="18">
        <v>45763</v>
      </c>
      <c r="B16" s="19">
        <v>0.54166666666666663</v>
      </c>
      <c r="C16" s="19"/>
      <c r="D16" s="19"/>
      <c r="E16" s="19">
        <v>0.75</v>
      </c>
      <c r="F16" s="20">
        <f t="shared" si="7"/>
        <v>0</v>
      </c>
      <c r="G16" s="20">
        <f t="shared" si="8"/>
        <v>0.20833333333333337</v>
      </c>
      <c r="H16" s="21">
        <f t="shared" si="9"/>
        <v>0.58333333333333337</v>
      </c>
      <c r="I16" s="26">
        <v>1</v>
      </c>
      <c r="J16" s="28">
        <f t="shared" si="6"/>
        <v>0.20833333333333337</v>
      </c>
      <c r="K16" s="27" t="s">
        <v>23</v>
      </c>
      <c r="L16" s="9" t="s">
        <v>22</v>
      </c>
      <c r="M16" s="23" t="s">
        <v>30</v>
      </c>
    </row>
    <row r="17" spans="1:13" x14ac:dyDescent="0.3">
      <c r="A17" s="18">
        <v>45764</v>
      </c>
      <c r="B17" s="19">
        <v>0.54166666666666663</v>
      </c>
      <c r="C17" s="19"/>
      <c r="D17" s="19"/>
      <c r="E17" s="19">
        <v>0.75</v>
      </c>
      <c r="F17" s="20">
        <f t="shared" si="7"/>
        <v>0</v>
      </c>
      <c r="G17" s="20">
        <f t="shared" si="8"/>
        <v>0.20833333333333337</v>
      </c>
      <c r="H17" s="21">
        <f t="shared" si="9"/>
        <v>0.79166666666666674</v>
      </c>
      <c r="I17" s="26">
        <v>1</v>
      </c>
      <c r="J17" s="28">
        <f t="shared" si="6"/>
        <v>0.20833333333333337</v>
      </c>
      <c r="K17" s="27" t="s">
        <v>23</v>
      </c>
      <c r="L17" s="9" t="s">
        <v>22</v>
      </c>
      <c r="M17" s="23" t="s">
        <v>31</v>
      </c>
    </row>
    <row r="18" spans="1:13" x14ac:dyDescent="0.3">
      <c r="A18" s="18">
        <v>45769</v>
      </c>
      <c r="B18" s="19">
        <v>0.375</v>
      </c>
      <c r="C18" s="19">
        <v>0.47916666666666669</v>
      </c>
      <c r="D18" s="19">
        <v>0.6875</v>
      </c>
      <c r="E18" s="19">
        <v>0.75</v>
      </c>
      <c r="F18" s="20">
        <f t="shared" si="7"/>
        <v>0.20833333333333331</v>
      </c>
      <c r="G18" s="20">
        <f t="shared" si="8"/>
        <v>0.16666666666666669</v>
      </c>
      <c r="H18" s="21">
        <f t="shared" si="9"/>
        <v>0.95833333333333348</v>
      </c>
      <c r="I18" s="26">
        <v>1</v>
      </c>
      <c r="J18" s="28">
        <f t="shared" si="6"/>
        <v>0.16666666666666669</v>
      </c>
      <c r="K18" s="27" t="s">
        <v>23</v>
      </c>
      <c r="L18" s="9" t="s">
        <v>22</v>
      </c>
      <c r="M18" s="23" t="s">
        <v>32</v>
      </c>
    </row>
    <row r="19" spans="1:13" x14ac:dyDescent="0.3">
      <c r="A19" s="18">
        <v>45770</v>
      </c>
      <c r="B19" s="19">
        <v>0.375</v>
      </c>
      <c r="C19" s="19">
        <v>0.5</v>
      </c>
      <c r="D19" s="19">
        <v>0.54166666666666663</v>
      </c>
      <c r="E19" s="19">
        <v>0.70833333333333337</v>
      </c>
      <c r="F19" s="20">
        <f t="shared" si="7"/>
        <v>4.166666666666663E-2</v>
      </c>
      <c r="G19" s="20">
        <f t="shared" si="8"/>
        <v>0.29166666666666674</v>
      </c>
      <c r="H19" s="21">
        <f t="shared" si="9"/>
        <v>1.2500000000000002</v>
      </c>
      <c r="I19" s="26">
        <v>1</v>
      </c>
      <c r="J19" s="28">
        <f t="shared" si="6"/>
        <v>0.29166666666666674</v>
      </c>
      <c r="K19" s="27" t="s">
        <v>33</v>
      </c>
      <c r="L19" s="9" t="s">
        <v>22</v>
      </c>
      <c r="M19" s="23" t="s">
        <v>34</v>
      </c>
    </row>
    <row r="20" spans="1:13" x14ac:dyDescent="0.3">
      <c r="A20" s="18">
        <v>45771</v>
      </c>
      <c r="B20" s="19">
        <v>0.54166666666666663</v>
      </c>
      <c r="C20" s="19"/>
      <c r="D20" s="19"/>
      <c r="E20" s="19">
        <v>0.75</v>
      </c>
      <c r="F20" s="20">
        <f t="shared" si="7"/>
        <v>0</v>
      </c>
      <c r="G20" s="20">
        <f t="shared" si="8"/>
        <v>0.20833333333333337</v>
      </c>
      <c r="H20" s="21">
        <f t="shared" si="9"/>
        <v>1.4583333333333335</v>
      </c>
      <c r="I20" s="26">
        <v>1</v>
      </c>
      <c r="J20" s="28">
        <f t="shared" si="6"/>
        <v>0.20833333333333337</v>
      </c>
      <c r="K20" s="27" t="s">
        <v>33</v>
      </c>
      <c r="L20" s="9" t="s">
        <v>22</v>
      </c>
      <c r="M20" s="23" t="s">
        <v>34</v>
      </c>
    </row>
    <row r="21" spans="1:13" x14ac:dyDescent="0.3">
      <c r="A21" s="18">
        <v>45772</v>
      </c>
      <c r="B21" s="19">
        <v>0.54166666666666663</v>
      </c>
      <c r="C21" s="19"/>
      <c r="D21" s="19"/>
      <c r="E21" s="19">
        <v>0.75</v>
      </c>
      <c r="F21" s="20">
        <f t="shared" si="7"/>
        <v>0</v>
      </c>
      <c r="G21" s="20">
        <f t="shared" si="8"/>
        <v>0.20833333333333337</v>
      </c>
      <c r="H21" s="21">
        <f t="shared" si="9"/>
        <v>1.666666666666667</v>
      </c>
      <c r="I21" s="26">
        <v>1</v>
      </c>
      <c r="J21" s="28">
        <f t="shared" si="6"/>
        <v>0.20833333333333337</v>
      </c>
      <c r="K21" s="27" t="s">
        <v>33</v>
      </c>
      <c r="L21" s="9" t="s">
        <v>22</v>
      </c>
      <c r="M21" s="23" t="s">
        <v>34</v>
      </c>
    </row>
    <row r="22" spans="1:13" x14ac:dyDescent="0.3">
      <c r="A22" s="18">
        <v>45775</v>
      </c>
      <c r="B22" s="19">
        <v>0.375</v>
      </c>
      <c r="C22" s="19"/>
      <c r="D22" s="19"/>
      <c r="E22" s="19">
        <v>0.54166666666666663</v>
      </c>
      <c r="F22" s="20">
        <f t="shared" si="7"/>
        <v>0</v>
      </c>
      <c r="G22" s="20">
        <f t="shared" si="8"/>
        <v>0.16666666666666663</v>
      </c>
      <c r="H22" s="21">
        <f t="shared" si="9"/>
        <v>1.8333333333333335</v>
      </c>
      <c r="I22" s="26">
        <v>1</v>
      </c>
      <c r="J22" s="28">
        <f t="shared" si="6"/>
        <v>0.16666666666666663</v>
      </c>
      <c r="K22" s="27" t="s">
        <v>26</v>
      </c>
      <c r="L22" s="9" t="s">
        <v>22</v>
      </c>
      <c r="M22" s="23" t="s">
        <v>35</v>
      </c>
    </row>
    <row r="23" spans="1:13" x14ac:dyDescent="0.3">
      <c r="A23" s="18">
        <v>45776</v>
      </c>
      <c r="B23" s="19">
        <v>0.54166666666666663</v>
      </c>
      <c r="C23" s="19"/>
      <c r="D23" s="19"/>
      <c r="E23" s="19">
        <v>0.75</v>
      </c>
      <c r="F23" s="20">
        <f t="shared" si="7"/>
        <v>0</v>
      </c>
      <c r="G23" s="20">
        <f t="shared" si="8"/>
        <v>0.20833333333333337</v>
      </c>
      <c r="H23" s="21">
        <f t="shared" si="9"/>
        <v>2.041666666666667</v>
      </c>
      <c r="I23" s="26">
        <v>1</v>
      </c>
      <c r="J23" s="28">
        <f t="shared" si="6"/>
        <v>0.20833333333333337</v>
      </c>
      <c r="K23" s="27" t="s">
        <v>26</v>
      </c>
      <c r="L23" s="9" t="s">
        <v>22</v>
      </c>
      <c r="M23" s="23" t="s">
        <v>35</v>
      </c>
    </row>
    <row r="24" spans="1:13" x14ac:dyDescent="0.3">
      <c r="A24" s="18">
        <v>45777</v>
      </c>
      <c r="B24" s="19">
        <v>0.6875</v>
      </c>
      <c r="C24" s="19"/>
      <c r="D24" s="19"/>
      <c r="E24" s="19">
        <v>0.72916666666666663</v>
      </c>
      <c r="F24" s="20">
        <f t="shared" si="7"/>
        <v>0</v>
      </c>
      <c r="G24" s="20">
        <f t="shared" si="8"/>
        <v>4.166666666666663E-2</v>
      </c>
      <c r="H24" s="21">
        <f t="shared" si="9"/>
        <v>2.0833333333333335</v>
      </c>
      <c r="I24" s="26">
        <v>1</v>
      </c>
      <c r="J24" s="28">
        <f t="shared" si="6"/>
        <v>4.166666666666663E-2</v>
      </c>
      <c r="K24" s="27" t="s">
        <v>26</v>
      </c>
      <c r="L24" s="9" t="s">
        <v>22</v>
      </c>
      <c r="M24" s="23" t="s">
        <v>36</v>
      </c>
    </row>
    <row r="25" spans="1:13" ht="13.5" customHeight="1" x14ac:dyDescent="0.3">
      <c r="A25" s="18"/>
      <c r="B25" s="19"/>
      <c r="C25" s="19"/>
      <c r="D25" s="19"/>
      <c r="E25" s="19"/>
      <c r="F25" s="20">
        <f t="shared" ref="F25:F35" si="10">D24-C24</f>
        <v>0</v>
      </c>
      <c r="G25" s="20">
        <f t="shared" ref="G25:G35" si="11">E24-B24-F25</f>
        <v>4.166666666666663E-2</v>
      </c>
      <c r="H25" s="21">
        <f t="shared" si="5"/>
        <v>2.125</v>
      </c>
      <c r="I25" s="26">
        <v>1</v>
      </c>
      <c r="J25" s="28">
        <f t="shared" si="6"/>
        <v>4.166666666666663E-2</v>
      </c>
      <c r="K25" s="27"/>
      <c r="L25" s="9"/>
      <c r="M25" s="23"/>
    </row>
    <row r="26" spans="1:13" x14ac:dyDescent="0.3">
      <c r="A26" s="18"/>
      <c r="B26" s="19"/>
      <c r="C26" s="19"/>
      <c r="D26" s="19"/>
      <c r="E26" s="19"/>
      <c r="F26" s="20">
        <f t="shared" si="10"/>
        <v>0</v>
      </c>
      <c r="G26" s="20">
        <f t="shared" si="11"/>
        <v>0</v>
      </c>
      <c r="H26" s="21">
        <f t="shared" si="5"/>
        <v>2.125</v>
      </c>
      <c r="I26" s="26">
        <v>1</v>
      </c>
      <c r="J26" s="28">
        <f t="shared" si="6"/>
        <v>0</v>
      </c>
      <c r="K26" s="27"/>
      <c r="L26" s="9"/>
      <c r="M26" s="23"/>
    </row>
    <row r="27" spans="1:13" x14ac:dyDescent="0.3">
      <c r="A27" s="18"/>
      <c r="B27" s="19"/>
      <c r="C27" s="19"/>
      <c r="D27" s="19"/>
      <c r="E27" s="19"/>
      <c r="F27" s="20">
        <f t="shared" si="10"/>
        <v>0</v>
      </c>
      <c r="G27" s="20">
        <f t="shared" si="11"/>
        <v>0</v>
      </c>
      <c r="H27" s="21">
        <f t="shared" si="5"/>
        <v>2.125</v>
      </c>
      <c r="I27" s="26">
        <v>1</v>
      </c>
      <c r="J27" s="28">
        <f t="shared" si="6"/>
        <v>0</v>
      </c>
      <c r="K27" s="27"/>
      <c r="L27" s="9"/>
      <c r="M27" s="23"/>
    </row>
    <row r="28" spans="1:13" x14ac:dyDescent="0.3">
      <c r="A28" s="18"/>
      <c r="B28" s="19"/>
      <c r="C28" s="19"/>
      <c r="D28" s="19"/>
      <c r="E28" s="19"/>
      <c r="F28" s="20">
        <f t="shared" si="10"/>
        <v>0</v>
      </c>
      <c r="G28" s="20">
        <f t="shared" si="11"/>
        <v>0</v>
      </c>
      <c r="H28" s="21">
        <f t="shared" si="5"/>
        <v>2.125</v>
      </c>
      <c r="I28" s="26">
        <v>1</v>
      </c>
      <c r="J28" s="28">
        <f t="shared" si="6"/>
        <v>0</v>
      </c>
      <c r="K28" s="27"/>
      <c r="L28" s="9"/>
      <c r="M28" s="23"/>
    </row>
    <row r="29" spans="1:13" x14ac:dyDescent="0.3">
      <c r="A29" s="18"/>
      <c r="B29" s="19"/>
      <c r="C29" s="19"/>
      <c r="D29" s="19"/>
      <c r="E29" s="19"/>
      <c r="F29" s="20">
        <f t="shared" si="10"/>
        <v>0</v>
      </c>
      <c r="G29" s="20">
        <f t="shared" si="11"/>
        <v>0</v>
      </c>
      <c r="H29" s="21">
        <f t="shared" si="5"/>
        <v>2.125</v>
      </c>
      <c r="I29" s="26">
        <v>1</v>
      </c>
      <c r="J29" s="28">
        <f t="shared" si="6"/>
        <v>0</v>
      </c>
      <c r="K29" s="27"/>
      <c r="L29" s="22"/>
      <c r="M29" s="23"/>
    </row>
    <row r="30" spans="1:13" x14ac:dyDescent="0.3">
      <c r="A30" s="18"/>
      <c r="B30" s="19"/>
      <c r="C30" s="19"/>
      <c r="D30" s="19"/>
      <c r="E30" s="19"/>
      <c r="F30" s="20">
        <f t="shared" si="10"/>
        <v>0</v>
      </c>
      <c r="G30" s="20">
        <f t="shared" si="11"/>
        <v>0</v>
      </c>
      <c r="H30" s="21">
        <f t="shared" si="5"/>
        <v>2.125</v>
      </c>
      <c r="I30" s="26">
        <v>1</v>
      </c>
      <c r="J30" s="28">
        <f t="shared" si="6"/>
        <v>0</v>
      </c>
      <c r="K30" s="27"/>
      <c r="L30" s="22"/>
      <c r="M30" s="23"/>
    </row>
    <row r="31" spans="1:13" ht="15" customHeight="1" x14ac:dyDescent="0.3">
      <c r="A31" s="18"/>
      <c r="B31" s="19"/>
      <c r="C31" s="19"/>
      <c r="D31" s="19"/>
      <c r="E31" s="19"/>
      <c r="F31" s="20">
        <f t="shared" si="10"/>
        <v>0</v>
      </c>
      <c r="G31" s="20">
        <f t="shared" si="11"/>
        <v>0</v>
      </c>
      <c r="H31" s="21">
        <f t="shared" si="5"/>
        <v>2.125</v>
      </c>
      <c r="I31" s="26">
        <v>1</v>
      </c>
      <c r="J31" s="28">
        <f t="shared" si="6"/>
        <v>0</v>
      </c>
      <c r="K31" s="27"/>
      <c r="L31" s="22"/>
      <c r="M31" s="23"/>
    </row>
    <row r="32" spans="1:13" ht="15" customHeight="1" x14ac:dyDescent="0.3">
      <c r="A32" s="18"/>
      <c r="B32" s="19"/>
      <c r="C32" s="19"/>
      <c r="D32" s="19"/>
      <c r="E32" s="19"/>
      <c r="F32" s="20">
        <f t="shared" si="10"/>
        <v>0</v>
      </c>
      <c r="G32" s="20">
        <f t="shared" si="11"/>
        <v>0</v>
      </c>
      <c r="H32" s="21">
        <f t="shared" si="5"/>
        <v>2.125</v>
      </c>
      <c r="I32" s="26">
        <v>1</v>
      </c>
      <c r="J32" s="28">
        <f t="shared" si="6"/>
        <v>0</v>
      </c>
      <c r="K32" s="27"/>
      <c r="L32" s="22"/>
      <c r="M32" s="23"/>
    </row>
    <row r="33" spans="1:13" ht="15" customHeight="1" x14ac:dyDescent="0.3">
      <c r="A33" s="18"/>
      <c r="B33" s="19"/>
      <c r="C33" s="19"/>
      <c r="D33" s="19"/>
      <c r="E33" s="19"/>
      <c r="F33" s="20">
        <f t="shared" si="10"/>
        <v>0</v>
      </c>
      <c r="G33" s="20">
        <f t="shared" si="11"/>
        <v>0</v>
      </c>
      <c r="H33" s="21">
        <f t="shared" si="5"/>
        <v>2.125</v>
      </c>
      <c r="I33" s="26">
        <v>1</v>
      </c>
      <c r="J33" s="28">
        <f t="shared" si="6"/>
        <v>0</v>
      </c>
      <c r="K33" s="27"/>
      <c r="L33" s="22"/>
      <c r="M33" s="23"/>
    </row>
    <row r="34" spans="1:13" ht="15" customHeight="1" x14ac:dyDescent="0.3">
      <c r="A34" s="18"/>
      <c r="B34" s="19"/>
      <c r="C34" s="19"/>
      <c r="D34" s="19"/>
      <c r="E34" s="19"/>
      <c r="F34" s="20">
        <f t="shared" si="10"/>
        <v>0</v>
      </c>
      <c r="G34" s="20">
        <f t="shared" si="11"/>
        <v>0</v>
      </c>
      <c r="H34" s="21">
        <f t="shared" si="5"/>
        <v>2.125</v>
      </c>
      <c r="I34" s="26">
        <v>1</v>
      </c>
      <c r="J34" s="28">
        <f t="shared" si="6"/>
        <v>0</v>
      </c>
      <c r="K34" s="27"/>
      <c r="L34" s="22"/>
      <c r="M34" s="23"/>
    </row>
    <row r="35" spans="1:13" ht="15" customHeight="1" x14ac:dyDescent="0.3">
      <c r="A35" s="18"/>
      <c r="B35" s="19"/>
      <c r="C35" s="19"/>
      <c r="D35" s="19"/>
      <c r="E35" s="19"/>
      <c r="F35" s="20">
        <f t="shared" si="10"/>
        <v>0</v>
      </c>
      <c r="G35" s="20">
        <f t="shared" si="11"/>
        <v>0</v>
      </c>
      <c r="H35" s="21">
        <f t="shared" si="5"/>
        <v>2.125</v>
      </c>
      <c r="I35" s="26">
        <v>1</v>
      </c>
      <c r="J35" s="28">
        <f t="shared" si="6"/>
        <v>0</v>
      </c>
      <c r="K35" s="27"/>
      <c r="L35" s="22"/>
      <c r="M35" s="23"/>
    </row>
    <row r="36" spans="1:13" ht="15" customHeight="1" x14ac:dyDescent="0.3">
      <c r="A36" s="18"/>
      <c r="B36" s="19"/>
      <c r="C36" s="19"/>
      <c r="D36" s="19"/>
      <c r="E36" s="19"/>
      <c r="F36" s="20">
        <f t="shared" ref="F36:F53" si="12">D33-C33</f>
        <v>0</v>
      </c>
      <c r="G36" s="20">
        <f t="shared" ref="G36:G53" si="13">E33-B33-F36</f>
        <v>0</v>
      </c>
      <c r="H36" s="21">
        <f t="shared" ref="H36:H53" si="14">(G36*I36)+H35</f>
        <v>2.125</v>
      </c>
      <c r="I36" s="26">
        <v>1</v>
      </c>
      <c r="J36" s="28">
        <f t="shared" ref="J36:J38" si="15">I36*G36</f>
        <v>0</v>
      </c>
      <c r="K36" s="27"/>
      <c r="L36" s="22"/>
      <c r="M36" s="23"/>
    </row>
    <row r="37" spans="1:13" ht="15" customHeight="1" x14ac:dyDescent="0.3">
      <c r="A37" s="18"/>
      <c r="B37" s="19"/>
      <c r="C37" s="19"/>
      <c r="D37" s="19"/>
      <c r="E37" s="19"/>
      <c r="F37" s="20">
        <f t="shared" si="12"/>
        <v>0</v>
      </c>
      <c r="G37" s="20">
        <f t="shared" si="13"/>
        <v>0</v>
      </c>
      <c r="H37" s="21">
        <f t="shared" si="14"/>
        <v>2.125</v>
      </c>
      <c r="I37" s="26">
        <v>1</v>
      </c>
      <c r="J37" s="28">
        <f t="shared" si="15"/>
        <v>0</v>
      </c>
      <c r="K37" s="27"/>
      <c r="L37" s="22"/>
      <c r="M37" s="23"/>
    </row>
    <row r="38" spans="1:13" x14ac:dyDescent="0.3">
      <c r="A38" s="18"/>
      <c r="B38" s="19"/>
      <c r="C38" s="19"/>
      <c r="D38" s="19"/>
      <c r="E38" s="19"/>
      <c r="F38" s="20">
        <f t="shared" si="12"/>
        <v>0</v>
      </c>
      <c r="G38" s="20">
        <f t="shared" si="13"/>
        <v>0</v>
      </c>
      <c r="H38" s="21">
        <f t="shared" si="14"/>
        <v>2.125</v>
      </c>
      <c r="I38" s="26">
        <v>1</v>
      </c>
      <c r="J38" s="28">
        <f t="shared" si="15"/>
        <v>0</v>
      </c>
      <c r="K38" s="27"/>
      <c r="L38" s="22"/>
      <c r="M38" s="23"/>
    </row>
    <row r="39" spans="1:13" x14ac:dyDescent="0.3">
      <c r="A39" s="18"/>
      <c r="B39" s="19"/>
      <c r="C39" s="19"/>
      <c r="D39" s="19"/>
      <c r="E39" s="19"/>
      <c r="F39" s="20">
        <f t="shared" si="12"/>
        <v>0</v>
      </c>
      <c r="G39" s="20">
        <f t="shared" si="13"/>
        <v>0</v>
      </c>
      <c r="H39" s="21">
        <f t="shared" si="14"/>
        <v>2.125</v>
      </c>
      <c r="I39" s="26">
        <v>1</v>
      </c>
      <c r="J39" s="28">
        <f t="shared" ref="J39:J42" si="16">I39*G39</f>
        <v>0</v>
      </c>
      <c r="K39" s="27"/>
      <c r="L39" s="22"/>
      <c r="M39" s="23"/>
    </row>
    <row r="40" spans="1:13" x14ac:dyDescent="0.3">
      <c r="A40" s="18"/>
      <c r="B40" s="19"/>
      <c r="C40" s="19"/>
      <c r="D40" s="19"/>
      <c r="E40" s="19"/>
      <c r="F40" s="20">
        <f t="shared" si="12"/>
        <v>0</v>
      </c>
      <c r="G40" s="20">
        <f t="shared" si="13"/>
        <v>0</v>
      </c>
      <c r="H40" s="21">
        <f t="shared" si="14"/>
        <v>2.125</v>
      </c>
      <c r="I40" s="26">
        <v>1</v>
      </c>
      <c r="J40" s="28">
        <f t="shared" si="16"/>
        <v>0</v>
      </c>
      <c r="K40" s="27"/>
      <c r="L40" s="22"/>
      <c r="M40" s="23"/>
    </row>
    <row r="41" spans="1:13" x14ac:dyDescent="0.3">
      <c r="A41" s="18"/>
      <c r="B41" s="19"/>
      <c r="C41" s="19"/>
      <c r="D41" s="19"/>
      <c r="E41" s="19"/>
      <c r="F41" s="20">
        <f t="shared" si="12"/>
        <v>0</v>
      </c>
      <c r="G41" s="20">
        <f t="shared" si="13"/>
        <v>0</v>
      </c>
      <c r="H41" s="21">
        <f t="shared" si="14"/>
        <v>2.125</v>
      </c>
      <c r="I41" s="26">
        <v>1</v>
      </c>
      <c r="J41" s="28">
        <f t="shared" si="16"/>
        <v>0</v>
      </c>
      <c r="K41" s="27"/>
      <c r="L41" s="22"/>
      <c r="M41" s="23"/>
    </row>
    <row r="42" spans="1:13" x14ac:dyDescent="0.3">
      <c r="A42" s="18"/>
      <c r="B42" s="19"/>
      <c r="C42" s="19"/>
      <c r="D42" s="19"/>
      <c r="E42" s="19"/>
      <c r="F42" s="20">
        <f t="shared" si="12"/>
        <v>0</v>
      </c>
      <c r="G42" s="20">
        <f t="shared" si="13"/>
        <v>0</v>
      </c>
      <c r="H42" s="21">
        <f t="shared" si="14"/>
        <v>2.125</v>
      </c>
      <c r="I42" s="26">
        <v>1</v>
      </c>
      <c r="J42" s="28">
        <f t="shared" si="16"/>
        <v>0</v>
      </c>
      <c r="K42" s="27"/>
      <c r="L42" s="22"/>
      <c r="M42" s="23"/>
    </row>
    <row r="43" spans="1:13" x14ac:dyDescent="0.3">
      <c r="A43" s="18"/>
      <c r="B43" s="19"/>
      <c r="C43" s="19"/>
      <c r="D43" s="19"/>
      <c r="E43" s="19"/>
      <c r="F43" s="20">
        <f t="shared" si="12"/>
        <v>0</v>
      </c>
      <c r="G43" s="20">
        <f t="shared" si="13"/>
        <v>0</v>
      </c>
      <c r="H43" s="21">
        <f t="shared" si="14"/>
        <v>2.125</v>
      </c>
      <c r="I43" s="26">
        <v>1</v>
      </c>
      <c r="J43" s="28">
        <f t="shared" ref="J43:J46" si="17">I43*G43</f>
        <v>0</v>
      </c>
      <c r="K43" s="27"/>
      <c r="L43" s="22"/>
      <c r="M43" s="23"/>
    </row>
    <row r="44" spans="1:13" x14ac:dyDescent="0.3">
      <c r="A44" s="18"/>
      <c r="B44" s="19"/>
      <c r="C44" s="19"/>
      <c r="D44" s="19"/>
      <c r="E44" s="19"/>
      <c r="F44" s="20">
        <f t="shared" si="12"/>
        <v>0</v>
      </c>
      <c r="G44" s="20">
        <f t="shared" si="13"/>
        <v>0</v>
      </c>
      <c r="H44" s="21">
        <f t="shared" si="14"/>
        <v>2.125</v>
      </c>
      <c r="I44" s="26">
        <v>1</v>
      </c>
      <c r="J44" s="28">
        <f t="shared" si="17"/>
        <v>0</v>
      </c>
      <c r="K44" s="27"/>
      <c r="L44" s="22"/>
      <c r="M44" s="23"/>
    </row>
    <row r="45" spans="1:13" x14ac:dyDescent="0.3">
      <c r="A45" s="18"/>
      <c r="B45" s="19"/>
      <c r="C45" s="19"/>
      <c r="D45" s="19"/>
      <c r="E45" s="19"/>
      <c r="F45" s="20">
        <f t="shared" si="12"/>
        <v>0</v>
      </c>
      <c r="G45" s="20">
        <f t="shared" si="13"/>
        <v>0</v>
      </c>
      <c r="H45" s="21">
        <f t="shared" si="14"/>
        <v>2.125</v>
      </c>
      <c r="I45" s="26">
        <v>1</v>
      </c>
      <c r="J45" s="28">
        <f t="shared" si="17"/>
        <v>0</v>
      </c>
      <c r="K45" s="27"/>
      <c r="L45" s="22"/>
      <c r="M45" s="23"/>
    </row>
    <row r="46" spans="1:13" x14ac:dyDescent="0.3">
      <c r="A46" s="18"/>
      <c r="B46" s="19"/>
      <c r="C46" s="19"/>
      <c r="D46" s="19"/>
      <c r="E46" s="19"/>
      <c r="F46" s="20">
        <f t="shared" si="12"/>
        <v>0</v>
      </c>
      <c r="G46" s="20">
        <f t="shared" si="13"/>
        <v>0</v>
      </c>
      <c r="H46" s="21">
        <f t="shared" si="14"/>
        <v>2.125</v>
      </c>
      <c r="I46" s="26">
        <v>1</v>
      </c>
      <c r="J46" s="28">
        <f t="shared" si="17"/>
        <v>0</v>
      </c>
      <c r="K46" s="27"/>
      <c r="L46" s="22"/>
      <c r="M46" s="23"/>
    </row>
    <row r="47" spans="1:13" ht="15" thickBot="1" x14ac:dyDescent="0.35">
      <c r="A47" s="11"/>
      <c r="B47" s="19"/>
      <c r="C47" s="19"/>
      <c r="D47" s="19"/>
      <c r="E47" s="19"/>
      <c r="F47" s="20">
        <f t="shared" si="12"/>
        <v>0</v>
      </c>
      <c r="G47" s="20">
        <f t="shared" si="13"/>
        <v>0</v>
      </c>
      <c r="H47" s="21">
        <f t="shared" si="14"/>
        <v>2.125</v>
      </c>
      <c r="I47" s="26">
        <v>1</v>
      </c>
      <c r="J47" s="28">
        <f t="shared" ref="J47:J49" si="18">I47*G47</f>
        <v>0</v>
      </c>
      <c r="K47" s="27"/>
      <c r="L47" s="22"/>
      <c r="M47" s="23"/>
    </row>
    <row r="48" spans="1:13" x14ac:dyDescent="0.3">
      <c r="B48" s="19"/>
      <c r="C48" s="19"/>
      <c r="D48" s="19"/>
      <c r="E48" s="19"/>
      <c r="F48" s="20">
        <f t="shared" si="12"/>
        <v>0</v>
      </c>
      <c r="G48" s="20">
        <f t="shared" si="13"/>
        <v>0</v>
      </c>
      <c r="H48" s="21">
        <f t="shared" si="14"/>
        <v>2.125</v>
      </c>
      <c r="I48" s="26">
        <v>1</v>
      </c>
      <c r="J48" s="28">
        <f t="shared" si="18"/>
        <v>0</v>
      </c>
      <c r="K48" s="27"/>
      <c r="L48" s="22"/>
      <c r="M48" s="23"/>
    </row>
    <row r="49" spans="2:13" x14ac:dyDescent="0.3">
      <c r="B49" s="19"/>
      <c r="C49" s="19"/>
      <c r="D49" s="19"/>
      <c r="E49" s="19"/>
      <c r="F49" s="20">
        <f t="shared" si="12"/>
        <v>0</v>
      </c>
      <c r="G49" s="20">
        <f t="shared" si="13"/>
        <v>0</v>
      </c>
      <c r="H49" s="21">
        <f t="shared" si="14"/>
        <v>2.125</v>
      </c>
      <c r="I49" s="26">
        <v>1</v>
      </c>
      <c r="J49" s="28">
        <f t="shared" si="18"/>
        <v>0</v>
      </c>
      <c r="K49" s="27"/>
      <c r="L49" s="22"/>
      <c r="M49" s="23"/>
    </row>
    <row r="50" spans="2:13" x14ac:dyDescent="0.3">
      <c r="B50" s="19"/>
      <c r="C50" s="19"/>
      <c r="D50" s="19"/>
      <c r="E50" s="19"/>
      <c r="F50" s="20">
        <f t="shared" si="12"/>
        <v>0</v>
      </c>
      <c r="G50" s="20">
        <f t="shared" si="13"/>
        <v>0</v>
      </c>
      <c r="H50" s="21">
        <f t="shared" si="14"/>
        <v>2.125</v>
      </c>
      <c r="I50" s="26">
        <v>1</v>
      </c>
      <c r="J50" s="28">
        <f t="shared" ref="J50:J53" si="19">I50*G50</f>
        <v>0</v>
      </c>
      <c r="K50" s="27"/>
      <c r="L50" s="22"/>
      <c r="M50" s="23"/>
    </row>
    <row r="51" spans="2:13" x14ac:dyDescent="0.3">
      <c r="B51" s="19"/>
      <c r="C51" s="19"/>
      <c r="D51" s="19"/>
      <c r="E51" s="19"/>
      <c r="F51" s="20">
        <f t="shared" si="12"/>
        <v>0</v>
      </c>
      <c r="G51" s="20">
        <f t="shared" si="13"/>
        <v>0</v>
      </c>
      <c r="H51" s="21">
        <f t="shared" si="14"/>
        <v>2.125</v>
      </c>
      <c r="I51" s="26">
        <v>1</v>
      </c>
      <c r="J51" s="28">
        <f t="shared" si="19"/>
        <v>0</v>
      </c>
      <c r="K51" s="27"/>
      <c r="L51" s="22"/>
      <c r="M51" s="23"/>
    </row>
    <row r="52" spans="2:13" ht="15" thickBot="1" x14ac:dyDescent="0.35">
      <c r="B52" s="11"/>
      <c r="C52" s="11"/>
      <c r="D52" s="11"/>
      <c r="E52" s="11"/>
      <c r="F52" s="20">
        <f t="shared" si="12"/>
        <v>0</v>
      </c>
      <c r="G52" s="20">
        <f t="shared" si="13"/>
        <v>0</v>
      </c>
      <c r="H52" s="21">
        <f t="shared" si="14"/>
        <v>2.125</v>
      </c>
      <c r="I52" s="26">
        <v>1</v>
      </c>
      <c r="J52" s="28">
        <f t="shared" si="19"/>
        <v>0</v>
      </c>
      <c r="K52" s="27"/>
      <c r="L52" s="22"/>
      <c r="M52" s="23"/>
    </row>
    <row r="53" spans="2:13" x14ac:dyDescent="0.3">
      <c r="F53" s="20">
        <f t="shared" si="12"/>
        <v>0</v>
      </c>
      <c r="G53" s="20">
        <f t="shared" si="13"/>
        <v>0</v>
      </c>
      <c r="H53" s="21">
        <f t="shared" si="14"/>
        <v>2.125</v>
      </c>
      <c r="I53" s="26">
        <v>1</v>
      </c>
      <c r="J53" s="28">
        <f t="shared" si="19"/>
        <v>0</v>
      </c>
      <c r="K53" s="27"/>
      <c r="L53" s="22"/>
      <c r="M53" s="23"/>
    </row>
    <row r="54" spans="2:13" x14ac:dyDescent="0.3">
      <c r="F54" s="20"/>
      <c r="G54" s="20"/>
      <c r="H54" s="21"/>
      <c r="I54" s="26"/>
      <c r="J54" s="28"/>
      <c r="K54" s="27"/>
      <c r="L54" s="22"/>
      <c r="M54" s="23"/>
    </row>
    <row r="55" spans="2:13" ht="15" thickBot="1" x14ac:dyDescent="0.35">
      <c r="F55" s="11"/>
      <c r="G55" s="12"/>
      <c r="H55" s="13"/>
      <c r="I55" s="13"/>
      <c r="J55" s="13"/>
      <c r="K55" s="13"/>
      <c r="L55" s="14"/>
      <c r="M55" s="15"/>
    </row>
  </sheetData>
  <autoFilter ref="A9:M54" xr:uid="{00000000-0001-0000-0000-000000000000}"/>
  <mergeCells count="2">
    <mergeCell ref="D3:M3"/>
    <mergeCell ref="F10:H10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573D-EBD0-4D3E-B390-5F70D34EF557}">
  <sheetPr codeName="Planilha2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Ulrich Sofner Cervatti</cp:lastModifiedBy>
  <dcterms:created xsi:type="dcterms:W3CDTF">2013-02-08T19:14:06Z</dcterms:created>
  <dcterms:modified xsi:type="dcterms:W3CDTF">2025-05-02T12:46:15Z</dcterms:modified>
</cp:coreProperties>
</file>